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vydasmac/Desktop/Komerciniai CF/"/>
    </mc:Choice>
  </mc:AlternateContent>
  <xr:revisionPtr revIDLastSave="0" documentId="13_ncr:1_{1BD8162E-3A64-8548-9D89-CDD73ADB13DB}" xr6:coauthVersionLast="47" xr6:coauthVersionMax="47" xr10:uidLastSave="{00000000-0000-0000-0000-000000000000}"/>
  <bookViews>
    <workbookView xWindow="18960" yWindow="2820" windowWidth="29040" windowHeight="25980" xr2:uid="{137FFB3B-7EFE-ED45-A2DD-74B37CA1C3BA}"/>
  </bookViews>
  <sheets>
    <sheet name="Panoramic CHN" sheetId="1" r:id="rId1"/>
    <sheet name="ECCO" sheetId="2" r:id="rId2"/>
    <sheet name="Sheet2" sheetId="4" r:id="rId3"/>
    <sheet name="Sheet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10" i="1" l="1"/>
  <c r="E9" i="1"/>
  <c r="E8" i="1"/>
  <c r="E6" i="1"/>
  <c r="E5" i="1"/>
  <c r="E4" i="1"/>
  <c r="E14" i="1"/>
  <c r="E11" i="1" l="1"/>
  <c r="E16" i="1"/>
  <c r="C18" i="1"/>
  <c r="E17" i="1"/>
  <c r="E25" i="1"/>
  <c r="E26" i="1"/>
  <c r="E27" i="1"/>
  <c r="E28" i="1"/>
  <c r="E29" i="1"/>
  <c r="E15" i="1"/>
  <c r="E4" i="4"/>
  <c r="E5" i="4"/>
  <c r="E6" i="4"/>
  <c r="E7" i="4"/>
  <c r="E8" i="4"/>
  <c r="E25" i="4"/>
  <c r="E26" i="4"/>
  <c r="E27" i="4"/>
  <c r="E28" i="4"/>
  <c r="E29" i="4"/>
  <c r="E10" i="4"/>
  <c r="E11" i="4"/>
  <c r="E12" i="4"/>
  <c r="E29" i="3"/>
  <c r="E26" i="3"/>
  <c r="I11" i="3"/>
  <c r="I10" i="3"/>
  <c r="I9" i="3"/>
  <c r="I8" i="3"/>
  <c r="H7" i="3"/>
  <c r="I7" i="3"/>
  <c r="I15" i="3"/>
  <c r="E9" i="2"/>
  <c r="E21" i="2"/>
  <c r="E20" i="2"/>
  <c r="E19" i="2"/>
  <c r="E18" i="2"/>
  <c r="E12" i="2"/>
  <c r="E11" i="2"/>
  <c r="E10" i="2"/>
  <c r="E8" i="2"/>
  <c r="E7" i="2"/>
  <c r="E6" i="2"/>
  <c r="E5" i="2"/>
  <c r="E4" i="2"/>
  <c r="E31" i="3"/>
  <c r="E32" i="3"/>
  <c r="E33" i="3"/>
  <c r="E22" i="2"/>
  <c r="E13" i="2"/>
  <c r="D15" i="2"/>
  <c r="E15" i="2"/>
  <c r="E25" i="2"/>
  <c r="E26" i="2"/>
  <c r="E27" i="2"/>
  <c r="E18" i="1" l="1"/>
  <c r="E20" i="1" s="1"/>
  <c r="E30" i="1"/>
  <c r="E31" i="1" s="1"/>
  <c r="E32" i="1" s="1"/>
  <c r="E34" i="1" l="1"/>
  <c r="E35" i="1" s="1"/>
  <c r="E36" i="1" s="1"/>
  <c r="E21" i="1"/>
  <c r="E22" i="1" s="1"/>
</calcChain>
</file>

<file path=xl/sharedStrings.xml><?xml version="1.0" encoding="utf-8"?>
<sst xmlns="http://schemas.openxmlformats.org/spreadsheetml/2006/main" count="109" uniqueCount="78">
  <si>
    <t>Elektos laidai ir jugtys</t>
  </si>
  <si>
    <t>Tinklas “PADDLE Competition 4.0mm black”</t>
  </si>
  <si>
    <t>Transportas , įpakavimas, pakrovimas,, kėlimo mech.</t>
  </si>
  <si>
    <t>Aikštelės sumontavimas</t>
  </si>
  <si>
    <t>Šviestuvų sumontavimas ir el. instaliacija</t>
  </si>
  <si>
    <t>Sportinės dangos sumontavimas</t>
  </si>
  <si>
    <t>Aprašymas</t>
  </si>
  <si>
    <t>Kiekis</t>
  </si>
  <si>
    <t>Kaina</t>
  </si>
  <si>
    <t>Suma</t>
  </si>
  <si>
    <t>PVM:</t>
  </si>
  <si>
    <t>Kaina su PVM:</t>
  </si>
  <si>
    <t>Grūdintas stiklas šlifuotomis briaunomis 3000x2000x10mm</t>
  </si>
  <si>
    <t>Transportas ir Aikštelės sumontavimas:</t>
  </si>
  <si>
    <t>Viso su transportu ir sumontavimu:</t>
  </si>
  <si>
    <t>Metalo konstrukcija “Panoramic”</t>
  </si>
  <si>
    <t>Metalo konstrukcija “ECCO”</t>
  </si>
  <si>
    <t>* + dviejų darbuotojų kelionės ir nakvynės išlaidos</t>
  </si>
  <si>
    <t>Klijai + Klijavimo joustos</t>
  </si>
  <si>
    <t>Kvarcinis smėlis (1,5 tonos).</t>
  </si>
  <si>
    <t>Padel teniso aikštelė ECCO :</t>
  </si>
  <si>
    <t>KAINA VIENAI AIKŠTELEI:</t>
  </si>
  <si>
    <t>LED šviestuvai 250w 35000 lm *4 vnt/kortui</t>
  </si>
  <si>
    <t>KAINA VISO :</t>
  </si>
  <si>
    <t>Danga “Juta padel MFTl”</t>
  </si>
  <si>
    <t xml:space="preserve"> Apšvietimo stulpai LED</t>
  </si>
  <si>
    <t>Suoliukai</t>
  </si>
  <si>
    <t>fenol</t>
  </si>
  <si>
    <t>vaigora</t>
  </si>
  <si>
    <t>Oksport</t>
  </si>
  <si>
    <t>Montavimas</t>
  </si>
  <si>
    <t>Viso</t>
  </si>
  <si>
    <t>Vnt.</t>
  </si>
  <si>
    <t>Danga praėjimai</t>
  </si>
  <si>
    <t>Danga aplinkui</t>
  </si>
  <si>
    <t>70 *3=210m2</t>
  </si>
  <si>
    <t>140*0,5=70m2</t>
  </si>
  <si>
    <t>Užaklinimai</t>
  </si>
  <si>
    <t>1,1*2</t>
  </si>
  <si>
    <t>2,7*2</t>
  </si>
  <si>
    <t>Varteliai su spyna.</t>
  </si>
  <si>
    <t>Danga</t>
  </si>
  <si>
    <t>1m2=17,5</t>
  </si>
  <si>
    <t xml:space="preserve">Aprašymas </t>
  </si>
  <si>
    <t>Danga "teracota" praėjimai m2.</t>
  </si>
  <si>
    <t>Dangos sumontavimas</t>
  </si>
  <si>
    <t>PVM</t>
  </si>
  <si>
    <t>Su PVM</t>
  </si>
  <si>
    <t xml:space="preserve">Varteliai aklini (ap.2300*2000) </t>
  </si>
  <si>
    <t>Varteliai su vyriais ir remais (ap.1200*2000) su spynos įmontavimu</t>
  </si>
  <si>
    <t>Grūdintas stiklas šlifuotomis briaunomis 3000x2000x12mm(18vnt)</t>
  </si>
  <si>
    <t>Kvarcinis smėlis 1,5tonos</t>
  </si>
  <si>
    <t>Sportinė danga 12mm.„Professional Padel Grade“</t>
  </si>
  <si>
    <t>Aikštelių sk.</t>
  </si>
  <si>
    <t>Pagrindo įrengimo darbai ir medžiagos:</t>
  </si>
  <si>
    <t xml:space="preserve">KAINA VISO : </t>
  </si>
  <si>
    <t>Trinkelės</t>
  </si>
  <si>
    <t>Trinkelių klojimas</t>
  </si>
  <si>
    <t>Transportas, žemės darbu technika</t>
  </si>
  <si>
    <t>Pamatai „Rostverkas" m3</t>
  </si>
  <si>
    <t>Grunto užpylimas, trinkelių pagrindo paruošimas m2</t>
  </si>
  <si>
    <t>Metalo konstrukcija “Panoramic"</t>
  </si>
  <si>
    <t>Padel teniso aikštelės"Panoramic" įrengimas</t>
  </si>
  <si>
    <t>Pamatų  „padel aikštelės pagrindo" įrengimas 222m2</t>
  </si>
  <si>
    <t>Transportas  ir krovimo technika</t>
  </si>
  <si>
    <t>Šviestuvai LED</t>
  </si>
  <si>
    <t>Tvirtinimo detalės ir laidai (kompl.)</t>
  </si>
  <si>
    <t>Sportinės dangos įrengimas</t>
  </si>
  <si>
    <t>Aikštelės</t>
  </si>
  <si>
    <t>Transportas ir Darbai:</t>
  </si>
  <si>
    <t>Suma:</t>
  </si>
  <si>
    <t>Darbų suma:</t>
  </si>
  <si>
    <t>Led šviestuvų instaliavimas ir papildomi darbai</t>
  </si>
  <si>
    <t>Viso Aikštelių :</t>
  </si>
  <si>
    <t>Visa suma su PVM:</t>
  </si>
  <si>
    <t>Visa suma:</t>
  </si>
  <si>
    <t>Padel teniso aikštelė Panoramic:</t>
  </si>
  <si>
    <t>Transportas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</si>
</sst>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&quot;€&quot;#,##0.00"/>
    <numFmt numFmtId="165" formatCode="&quot;€&quot;#,##0.0"/>
  </numFmts>
  <fonts count="10" x14ac:knownFonts="1">
    <font>
      <sz val="12"/>
      <color theme="1"/>
      <name val="Calibri"/>
      <family val="2"/>
      <scheme val="minor"/>
    </font>
    <font>
      <sz val="10"/>
      <color rgb="FF000000"/>
      <name val="Avenir Light"/>
      <family val="2"/>
    </font>
    <font>
      <sz val="10"/>
      <color theme="1"/>
      <name val="Avenir Light"/>
      <family val="2"/>
    </font>
    <font>
      <b/>
      <sz val="10"/>
      <color theme="9" tint="-0.499984740745262"/>
      <name val="Avenir Light"/>
      <family val="2"/>
    </font>
    <font>
      <sz val="15"/>
      <color rgb="FF000000"/>
      <name val="Helvetica"/>
      <family val="2"/>
    </font>
    <font>
      <b/>
      <sz val="10"/>
      <color theme="1"/>
      <name val="Avenir Light"/>
      <family val="2"/>
    </font>
    <font>
      <b/>
      <sz val="11"/>
      <color rgb="FFD40000"/>
      <name val="Avenir Light"/>
      <family val="2"/>
    </font>
    <font>
      <sz val="11"/>
      <color rgb="FFFF0000"/>
      <name val="Avenir Light"/>
      <family val="2"/>
    </font>
    <font>
      <b/>
      <sz val="10"/>
      <color rgb="FF000000"/>
      <name val="Avenir Light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82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0" borderId="1" xfId="0" applyNumberFormat="1" applyFont="1" applyBorder="1"/>
    <xf numFmtId="0" fontId="1" fillId="2" borderId="0" xfId="0" applyFont="1" applyFill="1"/>
    <xf numFmtId="164" fontId="1" fillId="2" borderId="0" xfId="0" applyNumberFormat="1" applyFont="1" applyFill="1"/>
    <xf numFmtId="164" fontId="2" fillId="2" borderId="0" xfId="0" applyNumberFormat="1" applyFont="1" applyFill="1"/>
    <xf numFmtId="0" fontId="1" fillId="0" borderId="2" xfId="0" applyFont="1" applyBorder="1"/>
    <xf numFmtId="0" fontId="1" fillId="2" borderId="3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64" fontId="1" fillId="0" borderId="5" xfId="0" applyNumberFormat="1" applyFont="1" applyBorder="1"/>
    <xf numFmtId="0" fontId="1" fillId="2" borderId="7" xfId="0" applyFont="1" applyFill="1" applyBorder="1"/>
    <xf numFmtId="0" fontId="1" fillId="2" borderId="2" xfId="0" applyFont="1" applyFill="1" applyBorder="1"/>
    <xf numFmtId="164" fontId="1" fillId="2" borderId="8" xfId="0" applyNumberFormat="1" applyFont="1" applyFill="1" applyBorder="1"/>
    <xf numFmtId="0" fontId="1" fillId="0" borderId="9" xfId="0" applyFont="1" applyBorder="1"/>
    <xf numFmtId="0" fontId="1" fillId="2" borderId="9" xfId="0" applyFont="1" applyFill="1" applyBorder="1"/>
    <xf numFmtId="0" fontId="1" fillId="0" borderId="10" xfId="0" applyFont="1" applyBorder="1"/>
    <xf numFmtId="0" fontId="2" fillId="2" borderId="0" xfId="0" applyFont="1" applyFill="1"/>
    <xf numFmtId="0" fontId="2" fillId="0" borderId="0" xfId="0" applyFont="1"/>
    <xf numFmtId="0" fontId="2" fillId="2" borderId="7" xfId="0" applyFont="1" applyFill="1" applyBorder="1"/>
    <xf numFmtId="0" fontId="2" fillId="2" borderId="8" xfId="0" applyFont="1" applyFill="1" applyBorder="1"/>
    <xf numFmtId="0" fontId="1" fillId="2" borderId="10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3" fillId="3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0" fontId="2" fillId="3" borderId="0" xfId="0" applyFont="1" applyFill="1" applyAlignment="1">
      <alignment horizontal="center"/>
    </xf>
    <xf numFmtId="9" fontId="2" fillId="0" borderId="0" xfId="0" applyNumberFormat="1" applyFont="1"/>
    <xf numFmtId="165" fontId="1" fillId="0" borderId="2" xfId="0" applyNumberFormat="1" applyFont="1" applyBorder="1"/>
    <xf numFmtId="165" fontId="1" fillId="2" borderId="3" xfId="0" applyNumberFormat="1" applyFont="1" applyFill="1" applyBorder="1"/>
    <xf numFmtId="165" fontId="1" fillId="0" borderId="3" xfId="0" applyNumberFormat="1" applyFont="1" applyBorder="1"/>
    <xf numFmtId="165" fontId="1" fillId="0" borderId="6" xfId="0" applyNumberFormat="1" applyFont="1" applyBorder="1"/>
    <xf numFmtId="165" fontId="1" fillId="2" borderId="0" xfId="0" applyNumberFormat="1" applyFont="1" applyFill="1"/>
    <xf numFmtId="165" fontId="2" fillId="3" borderId="0" xfId="0" applyNumberFormat="1" applyFont="1" applyFill="1"/>
    <xf numFmtId="165" fontId="1" fillId="2" borderId="2" xfId="0" applyNumberFormat="1" applyFont="1" applyFill="1" applyBorder="1"/>
    <xf numFmtId="165" fontId="1" fillId="0" borderId="4" xfId="0" applyNumberFormat="1" applyFont="1" applyBorder="1"/>
    <xf numFmtId="165" fontId="2" fillId="2" borderId="0" xfId="0" applyNumberFormat="1" applyFont="1" applyFill="1"/>
    <xf numFmtId="165" fontId="2" fillId="0" borderId="0" xfId="0" applyNumberFormat="1" applyFont="1"/>
    <xf numFmtId="165" fontId="1" fillId="0" borderId="12" xfId="0" applyNumberFormat="1" applyFont="1" applyBorder="1"/>
    <xf numFmtId="165" fontId="2" fillId="2" borderId="13" xfId="0" applyNumberFormat="1" applyFont="1" applyFill="1" applyBorder="1"/>
    <xf numFmtId="165" fontId="2" fillId="2" borderId="11" xfId="0" applyNumberFormat="1" applyFont="1" applyFill="1" applyBorder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3" xfId="0" applyFont="1" applyBorder="1"/>
    <xf numFmtId="0" fontId="5" fillId="3" borderId="0" xfId="0" applyFont="1" applyFill="1"/>
    <xf numFmtId="0" fontId="2" fillId="3" borderId="0" xfId="0" applyFont="1" applyFill="1" applyAlignment="1">
      <alignment horizontal="right" indent="1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right" indent="1"/>
    </xf>
    <xf numFmtId="0" fontId="1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right" vertical="center" indent="1"/>
    </xf>
    <xf numFmtId="165" fontId="1" fillId="0" borderId="2" xfId="0" applyNumberFormat="1" applyFont="1" applyBorder="1" applyAlignment="1">
      <alignment horizontal="right" vertical="center" indent="1"/>
    </xf>
    <xf numFmtId="0" fontId="1" fillId="2" borderId="3" xfId="0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right" vertical="center" indent="1"/>
    </xf>
    <xf numFmtId="165" fontId="1" fillId="2" borderId="3" xfId="0" applyNumberFormat="1" applyFont="1" applyFill="1" applyBorder="1" applyAlignment="1">
      <alignment horizontal="right" vertical="center" indent="1"/>
    </xf>
    <xf numFmtId="0" fontId="1" fillId="0" borderId="3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right" vertical="center" indent="1"/>
    </xf>
    <xf numFmtId="0" fontId="1" fillId="2" borderId="4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right" vertical="center" indent="1"/>
    </xf>
    <xf numFmtId="165" fontId="1" fillId="2" borderId="4" xfId="0" applyNumberFormat="1" applyFont="1" applyFill="1" applyBorder="1" applyAlignment="1">
      <alignment horizontal="right" vertical="center" indent="1"/>
    </xf>
    <xf numFmtId="0" fontId="5" fillId="3" borderId="0" xfId="0" applyFont="1" applyFill="1" applyAlignment="1">
      <alignment horizontal="center"/>
    </xf>
    <xf numFmtId="165" fontId="5" fillId="3" borderId="0" xfId="0" applyNumberFormat="1" applyFont="1" applyFill="1" applyAlignment="1">
      <alignment horizontal="right" indent="1"/>
    </xf>
    <xf numFmtId="0" fontId="2" fillId="3" borderId="0" xfId="0" applyFont="1" applyFill="1" applyAlignment="1">
      <alignment horizontal="right" vertical="center" indent="1"/>
    </xf>
    <xf numFmtId="165" fontId="2" fillId="3" borderId="0" xfId="0" applyNumberFormat="1" applyFont="1" applyFill="1" applyAlignment="1">
      <alignment horizontal="right" vertical="center" indent="1"/>
    </xf>
    <xf numFmtId="0" fontId="1" fillId="2" borderId="2" xfId="0" applyFont="1" applyFill="1" applyBorder="1" applyAlignment="1">
      <alignment horizontal="right" vertical="center" indent="1"/>
    </xf>
    <xf numFmtId="164" fontId="1" fillId="2" borderId="8" xfId="0" applyNumberFormat="1" applyFont="1" applyFill="1" applyBorder="1" applyAlignment="1">
      <alignment horizontal="right" vertical="center" indent="1"/>
    </xf>
    <xf numFmtId="165" fontId="1" fillId="2" borderId="2" xfId="0" applyNumberFormat="1" applyFont="1" applyFill="1" applyBorder="1" applyAlignment="1">
      <alignment horizontal="right" vertical="center" indent="1"/>
    </xf>
    <xf numFmtId="0" fontId="1" fillId="0" borderId="3" xfId="0" applyFont="1" applyBorder="1" applyAlignment="1">
      <alignment horizontal="right" vertical="center" indent="1"/>
    </xf>
    <xf numFmtId="0" fontId="1" fillId="2" borderId="3" xfId="0" applyFont="1" applyFill="1" applyBorder="1" applyAlignment="1">
      <alignment horizontal="right" vertical="center" indent="1"/>
    </xf>
    <xf numFmtId="165" fontId="2" fillId="3" borderId="11" xfId="0" applyNumberFormat="1" applyFont="1" applyFill="1" applyBorder="1" applyAlignment="1">
      <alignment horizontal="right" vertical="center" indent="1"/>
    </xf>
    <xf numFmtId="0" fontId="6" fillId="2" borderId="7" xfId="0" applyFont="1" applyFill="1" applyBorder="1"/>
    <xf numFmtId="0" fontId="7" fillId="2" borderId="8" xfId="0" applyFont="1" applyFill="1" applyBorder="1" applyAlignment="1">
      <alignment horizontal="right" vertical="center" indent="1"/>
    </xf>
    <xf numFmtId="164" fontId="7" fillId="2" borderId="8" xfId="0" applyNumberFormat="1" applyFont="1" applyFill="1" applyBorder="1" applyAlignment="1">
      <alignment horizontal="right" vertical="center" indent="1"/>
    </xf>
    <xf numFmtId="165" fontId="6" fillId="2" borderId="11" xfId="0" applyNumberFormat="1" applyFont="1" applyFill="1" applyBorder="1" applyAlignment="1">
      <alignment horizontal="right" vertical="center" indent="1"/>
    </xf>
    <xf numFmtId="0" fontId="8" fillId="0" borderId="9" xfId="0" applyFont="1" applyBorder="1"/>
    <xf numFmtId="9" fontId="2" fillId="0" borderId="0" xfId="0" applyNumberFormat="1" applyFont="1" applyAlignment="1">
      <alignment horizontal="right" vertical="center" indent="1"/>
    </xf>
    <xf numFmtId="0" fontId="2" fillId="0" borderId="0" xfId="0" applyFont="1" applyAlignment="1">
      <alignment horizontal="right" vertical="center" indent="1"/>
    </xf>
    <xf numFmtId="165" fontId="8" fillId="0" borderId="12" xfId="0" applyNumberFormat="1" applyFont="1" applyBorder="1" applyAlignment="1">
      <alignment horizontal="right" vertical="center" indent="1"/>
    </xf>
    <xf numFmtId="0" fontId="8" fillId="2" borderId="10" xfId="0" applyFont="1" applyFill="1" applyBorder="1"/>
    <xf numFmtId="0" fontId="2" fillId="2" borderId="1" xfId="0" applyFont="1" applyFill="1" applyBorder="1" applyAlignment="1">
      <alignment horizontal="right" vertical="center" indent="1"/>
    </xf>
    <xf numFmtId="165" fontId="5" fillId="2" borderId="13" xfId="0" applyNumberFormat="1" applyFont="1" applyFill="1" applyBorder="1" applyAlignment="1">
      <alignment horizontal="right" vertical="center" indent="1"/>
    </xf>
    <xf numFmtId="0" fontId="1" fillId="3" borderId="9" xfId="0" applyFont="1" applyFill="1" applyBorder="1"/>
    <xf numFmtId="0" fontId="1" fillId="3" borderId="3" xfId="0" applyFont="1" applyFill="1" applyBorder="1" applyAlignment="1">
      <alignment horizontal="right" vertical="center" indent="1"/>
    </xf>
    <xf numFmtId="164" fontId="1" fillId="3" borderId="0" xfId="0" applyNumberFormat="1" applyFont="1" applyFill="1" applyAlignment="1">
      <alignment horizontal="right" vertical="center" indent="1"/>
    </xf>
    <xf numFmtId="165" fontId="1" fillId="3" borderId="3" xfId="0" applyNumberFormat="1" applyFont="1" applyFill="1" applyBorder="1" applyAlignment="1">
      <alignment horizontal="right" vertical="center" indent="1"/>
    </xf>
    <xf numFmtId="0" fontId="1" fillId="2" borderId="4" xfId="0" applyFont="1" applyFill="1" applyBorder="1" applyAlignment="1">
      <alignment horizontal="right" vertical="center" indent="1"/>
    </xf>
    <xf numFmtId="165" fontId="5" fillId="3" borderId="18" xfId="0" applyNumberFormat="1" applyFont="1" applyFill="1" applyBorder="1" applyAlignment="1">
      <alignment horizontal="right" vertical="center" indent="1"/>
    </xf>
    <xf numFmtId="0" fontId="2" fillId="2" borderId="3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1" fillId="0" borderId="6" xfId="0" applyFont="1" applyBorder="1" applyAlignment="1">
      <alignment horizontal="right" vertical="center" indent="1"/>
    </xf>
    <xf numFmtId="0" fontId="1" fillId="0" borderId="2" xfId="0" applyFont="1" applyBorder="1" applyAlignment="1">
      <alignment horizontal="right" vertical="center" indent="1"/>
    </xf>
    <xf numFmtId="44" fontId="2" fillId="3" borderId="0" xfId="1" applyNumberFormat="1" applyFont="1" applyFill="1"/>
    <xf numFmtId="44" fontId="2" fillId="2" borderId="1" xfId="1" applyNumberFormat="1" applyFont="1" applyFill="1" applyBorder="1" applyAlignment="1">
      <alignment horizontal="center"/>
    </xf>
    <xf numFmtId="44" fontId="1" fillId="0" borderId="3" xfId="1" applyNumberFormat="1" applyFont="1" applyBorder="1"/>
    <xf numFmtId="44" fontId="2" fillId="2" borderId="3" xfId="1" applyNumberFormat="1" applyFont="1" applyFill="1" applyBorder="1"/>
    <xf numFmtId="44" fontId="2" fillId="0" borderId="6" xfId="1" applyNumberFormat="1" applyFont="1" applyBorder="1"/>
    <xf numFmtId="44" fontId="2" fillId="0" borderId="0" xfId="1" applyNumberFormat="1" applyFont="1"/>
    <xf numFmtId="44" fontId="1" fillId="2" borderId="2" xfId="1" applyNumberFormat="1" applyFont="1" applyFill="1" applyBorder="1"/>
    <xf numFmtId="44" fontId="1" fillId="2" borderId="9" xfId="1" applyNumberFormat="1" applyFont="1" applyFill="1" applyBorder="1"/>
    <xf numFmtId="44" fontId="2" fillId="0" borderId="5" xfId="1" applyNumberFormat="1" applyFont="1" applyBorder="1"/>
    <xf numFmtId="44" fontId="1" fillId="0" borderId="8" xfId="0" applyNumberFormat="1" applyFont="1" applyBorder="1" applyAlignment="1">
      <alignment horizontal="right" vertical="center" indent="1"/>
    </xf>
    <xf numFmtId="44" fontId="1" fillId="0" borderId="14" xfId="0" applyNumberFormat="1" applyFont="1" applyBorder="1" applyAlignment="1">
      <alignment horizontal="right" vertical="center" indent="1"/>
    </xf>
    <xf numFmtId="0" fontId="1" fillId="2" borderId="8" xfId="0" applyFont="1" applyFill="1" applyBorder="1"/>
    <xf numFmtId="0" fontId="5" fillId="3" borderId="19" xfId="0" applyFont="1" applyFill="1" applyBorder="1"/>
    <xf numFmtId="0" fontId="2" fillId="3" borderId="20" xfId="0" applyFont="1" applyFill="1" applyBorder="1" applyAlignment="1">
      <alignment horizontal="right" vertical="center" indent="1"/>
    </xf>
    <xf numFmtId="44" fontId="2" fillId="3" borderId="20" xfId="0" applyNumberFormat="1" applyFont="1" applyFill="1" applyBorder="1" applyAlignment="1">
      <alignment horizontal="right" vertical="center" indent="1"/>
    </xf>
    <xf numFmtId="44" fontId="2" fillId="3" borderId="21" xfId="1" applyNumberFormat="1" applyFont="1" applyFill="1" applyBorder="1" applyAlignment="1">
      <alignment horizontal="right" vertical="center" indent="1"/>
    </xf>
    <xf numFmtId="0" fontId="1" fillId="0" borderId="22" xfId="0" applyFont="1" applyBorder="1"/>
    <xf numFmtId="44" fontId="1" fillId="0" borderId="23" xfId="1" applyNumberFormat="1" applyFont="1" applyFill="1" applyBorder="1" applyAlignment="1">
      <alignment horizontal="right" vertical="center" indent="1"/>
    </xf>
    <xf numFmtId="0" fontId="1" fillId="2" borderId="24" xfId="0" applyFont="1" applyFill="1" applyBorder="1"/>
    <xf numFmtId="44" fontId="1" fillId="2" borderId="0" xfId="0" applyNumberFormat="1" applyFont="1" applyFill="1" applyBorder="1" applyAlignment="1">
      <alignment horizontal="right" vertical="center" indent="1"/>
    </xf>
    <xf numFmtId="44" fontId="1" fillId="2" borderId="25" xfId="1" applyNumberFormat="1" applyFont="1" applyFill="1" applyBorder="1" applyAlignment="1">
      <alignment horizontal="right" vertical="center" indent="1"/>
    </xf>
    <xf numFmtId="0" fontId="1" fillId="0" borderId="24" xfId="0" applyFont="1" applyBorder="1"/>
    <xf numFmtId="44" fontId="1" fillId="0" borderId="0" xfId="0" applyNumberFormat="1" applyFont="1" applyBorder="1" applyAlignment="1">
      <alignment horizontal="right" vertical="center" indent="1"/>
    </xf>
    <xf numFmtId="44" fontId="1" fillId="0" borderId="25" xfId="1" applyNumberFormat="1" applyFont="1" applyFill="1" applyBorder="1" applyAlignment="1">
      <alignment horizontal="right" vertical="center" indent="1"/>
    </xf>
    <xf numFmtId="0" fontId="1" fillId="0" borderId="26" xfId="0" applyFont="1" applyBorder="1"/>
    <xf numFmtId="44" fontId="1" fillId="0" borderId="27" xfId="1" applyNumberFormat="1" applyFont="1" applyFill="1" applyBorder="1" applyAlignment="1">
      <alignment horizontal="right" vertical="center" indent="1"/>
    </xf>
    <xf numFmtId="0" fontId="5" fillId="2" borderId="28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 indent="1"/>
    </xf>
    <xf numFmtId="44" fontId="5" fillId="2" borderId="0" xfId="0" applyNumberFormat="1" applyFont="1" applyFill="1" applyBorder="1" applyAlignment="1">
      <alignment horizontal="right" vertical="center" indent="1"/>
    </xf>
    <xf numFmtId="44" fontId="5" fillId="2" borderId="29" xfId="1" applyNumberFormat="1" applyFont="1" applyFill="1" applyBorder="1" applyAlignment="1">
      <alignment horizontal="right" vertical="center" indent="1"/>
    </xf>
    <xf numFmtId="0" fontId="2" fillId="0" borderId="0" xfId="0" applyFont="1" applyBorder="1"/>
    <xf numFmtId="44" fontId="2" fillId="0" borderId="0" xfId="1" applyNumberFormat="1" applyFont="1" applyBorder="1"/>
    <xf numFmtId="44" fontId="1" fillId="0" borderId="29" xfId="1" applyNumberFormat="1" applyFont="1" applyBorder="1"/>
    <xf numFmtId="0" fontId="1" fillId="2" borderId="30" xfId="0" applyFont="1" applyFill="1" applyBorder="1"/>
    <xf numFmtId="0" fontId="2" fillId="2" borderId="31" xfId="0" applyFont="1" applyFill="1" applyBorder="1"/>
    <xf numFmtId="44" fontId="2" fillId="2" borderId="31" xfId="1" applyNumberFormat="1" applyFont="1" applyFill="1" applyBorder="1"/>
    <xf numFmtId="44" fontId="2" fillId="2" borderId="32" xfId="1" applyNumberFormat="1" applyFont="1" applyFill="1" applyBorder="1"/>
    <xf numFmtId="0" fontId="2" fillId="3" borderId="20" xfId="0" applyFont="1" applyFill="1" applyBorder="1"/>
    <xf numFmtId="44" fontId="2" fillId="3" borderId="20" xfId="1" applyNumberFormat="1" applyFont="1" applyFill="1" applyBorder="1"/>
    <xf numFmtId="44" fontId="2" fillId="3" borderId="21" xfId="1" applyNumberFormat="1" applyFont="1" applyFill="1" applyBorder="1"/>
    <xf numFmtId="0" fontId="2" fillId="2" borderId="33" xfId="0" applyFont="1" applyFill="1" applyBorder="1" applyAlignment="1">
      <alignment horizontal="center"/>
    </xf>
    <xf numFmtId="44" fontId="2" fillId="2" borderId="34" xfId="1" applyNumberFormat="1" applyFont="1" applyFill="1" applyBorder="1" applyAlignment="1">
      <alignment horizontal="center"/>
    </xf>
    <xf numFmtId="44" fontId="1" fillId="0" borderId="0" xfId="1" applyNumberFormat="1" applyFont="1" applyBorder="1"/>
    <xf numFmtId="44" fontId="1" fillId="0" borderId="23" xfId="1" applyNumberFormat="1" applyFont="1" applyBorder="1"/>
    <xf numFmtId="44" fontId="1" fillId="2" borderId="0" xfId="1" applyNumberFormat="1" applyFont="1" applyFill="1" applyBorder="1"/>
    <xf numFmtId="44" fontId="1" fillId="2" borderId="25" xfId="1" applyNumberFormat="1" applyFont="1" applyFill="1" applyBorder="1"/>
    <xf numFmtId="44" fontId="1" fillId="0" borderId="25" xfId="1" applyNumberFormat="1" applyFont="1" applyBorder="1"/>
    <xf numFmtId="0" fontId="2" fillId="2" borderId="24" xfId="0" applyFont="1" applyFill="1" applyBorder="1"/>
    <xf numFmtId="44" fontId="2" fillId="2" borderId="0" xfId="1" applyNumberFormat="1" applyFont="1" applyFill="1" applyBorder="1"/>
    <xf numFmtId="44" fontId="2" fillId="2" borderId="25" xfId="1" applyNumberFormat="1" applyFont="1" applyFill="1" applyBorder="1"/>
    <xf numFmtId="0" fontId="2" fillId="0" borderId="24" xfId="0" applyFont="1" applyBorder="1"/>
    <xf numFmtId="44" fontId="2" fillId="0" borderId="25" xfId="1" applyNumberFormat="1" applyFont="1" applyBorder="1"/>
    <xf numFmtId="0" fontId="2" fillId="0" borderId="26" xfId="0" applyFont="1" applyBorder="1"/>
    <xf numFmtId="44" fontId="2" fillId="0" borderId="27" xfId="1" applyNumberFormat="1" applyFont="1" applyBorder="1"/>
    <xf numFmtId="0" fontId="1" fillId="2" borderId="24" xfId="0" applyFont="1" applyFill="1" applyBorder="1" applyAlignment="1">
      <alignment horizontal="right"/>
    </xf>
    <xf numFmtId="0" fontId="2" fillId="2" borderId="0" xfId="0" applyFont="1" applyFill="1" applyBorder="1"/>
    <xf numFmtId="44" fontId="1" fillId="2" borderId="29" xfId="1" applyNumberFormat="1" applyFont="1" applyFill="1" applyBorder="1"/>
    <xf numFmtId="44" fontId="2" fillId="0" borderId="29" xfId="1" applyNumberFormat="1" applyFont="1" applyBorder="1"/>
    <xf numFmtId="0" fontId="5" fillId="3" borderId="24" xfId="0" applyFont="1" applyFill="1" applyBorder="1" applyAlignment="1">
      <alignment horizontal="left"/>
    </xf>
    <xf numFmtId="0" fontId="2" fillId="3" borderId="0" xfId="0" applyFont="1" applyFill="1" applyBorder="1"/>
    <xf numFmtId="44" fontId="2" fillId="3" borderId="0" xfId="1" applyNumberFormat="1" applyFont="1" applyFill="1" applyBorder="1"/>
    <xf numFmtId="44" fontId="2" fillId="3" borderId="29" xfId="1" applyNumberFormat="1" applyFont="1" applyFill="1" applyBorder="1"/>
    <xf numFmtId="0" fontId="1" fillId="2" borderId="35" xfId="0" applyFont="1" applyFill="1" applyBorder="1"/>
    <xf numFmtId="44" fontId="1" fillId="2" borderId="23" xfId="1" applyNumberFormat="1" applyFont="1" applyFill="1" applyBorder="1"/>
    <xf numFmtId="0" fontId="1" fillId="0" borderId="36" xfId="0" applyFont="1" applyBorder="1"/>
    <xf numFmtId="0" fontId="1" fillId="0" borderId="0" xfId="0" applyFont="1" applyBorder="1"/>
    <xf numFmtId="0" fontId="2" fillId="2" borderId="36" xfId="0" applyFont="1" applyFill="1" applyBorder="1"/>
    <xf numFmtId="0" fontId="2" fillId="0" borderId="37" xfId="0" applyFont="1" applyBorder="1"/>
    <xf numFmtId="0" fontId="2" fillId="2" borderId="24" xfId="0" applyFont="1" applyFill="1" applyBorder="1" applyAlignment="1">
      <alignment horizontal="right"/>
    </xf>
    <xf numFmtId="44" fontId="2" fillId="2" borderId="29" xfId="1" applyNumberFormat="1" applyFont="1" applyFill="1" applyBorder="1"/>
    <xf numFmtId="44" fontId="2" fillId="0" borderId="0" xfId="0" applyNumberFormat="1" applyFont="1"/>
    <xf numFmtId="0" fontId="5" fillId="4" borderId="19" xfId="0" applyFont="1" applyFill="1" applyBorder="1"/>
    <xf numFmtId="0" fontId="5" fillId="4" borderId="20" xfId="0" applyFont="1" applyFill="1" applyBorder="1"/>
    <xf numFmtId="44" fontId="5" fillId="4" borderId="20" xfId="1" applyNumberFormat="1" applyFont="1" applyFill="1" applyBorder="1"/>
    <xf numFmtId="44" fontId="5" fillId="4" borderId="21" xfId="1" applyNumberFormat="1" applyFont="1" applyFill="1" applyBorder="1"/>
    <xf numFmtId="0" fontId="2" fillId="4" borderId="30" xfId="0" applyFont="1" applyFill="1" applyBorder="1"/>
    <xf numFmtId="0" fontId="2" fillId="4" borderId="31" xfId="0" applyFont="1" applyFill="1" applyBorder="1"/>
    <xf numFmtId="44" fontId="2" fillId="4" borderId="31" xfId="1" applyNumberFormat="1" applyFont="1" applyFill="1" applyBorder="1"/>
    <xf numFmtId="44" fontId="2" fillId="4" borderId="32" xfId="1" applyNumberFormat="1" applyFont="1" applyFill="1" applyBorder="1"/>
    <xf numFmtId="0" fontId="5" fillId="2" borderId="24" xfId="0" applyFont="1" applyFill="1" applyBorder="1"/>
    <xf numFmtId="0" fontId="5" fillId="2" borderId="0" xfId="0" applyFont="1" applyFill="1" applyBorder="1"/>
    <xf numFmtId="44" fontId="5" fillId="2" borderId="0" xfId="1" applyNumberFormat="1" applyFont="1" applyFill="1" applyBorder="1" applyAlignment="1">
      <alignment horizontal="center" vertical="center"/>
    </xf>
    <xf numFmtId="44" fontId="5" fillId="2" borderId="29" xfId="1" applyNumberFormat="1" applyFont="1" applyFill="1" applyBorder="1"/>
    <xf numFmtId="44" fontId="2" fillId="0" borderId="38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810845</xdr:colOff>
      <xdr:row>2</xdr:row>
      <xdr:rowOff>195383</xdr:rowOff>
    </xdr:from>
    <xdr:to>
      <xdr:col>17</xdr:col>
      <xdr:colOff>568059</xdr:colOff>
      <xdr:row>24</xdr:row>
      <xdr:rowOff>146538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9B612-BFFC-B930-E347-0D784199C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89307" y="605691"/>
          <a:ext cx="6400290" cy="4503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15D1-546E-7645-AA75-4CA5B09B8B89}">
  <dimension ref="A1:I36"/>
  <sheetViews>
    <sheetView tabSelected="1" zoomScale="147" zoomScaleNormal="147" workbookViewId="0">
      <selection activeCell="F24" sqref="F24"/>
    </sheetView>
  </sheetViews>
  <sheetFormatPr baseColWidth="10" defaultColWidth="13.1640625" defaultRowHeight="15" x14ac:dyDescent="0.25"/>
  <cols>
    <col min="1" max="1" width="13.1640625" style="29"/>
    <col min="2" max="2" width="50.1640625" style="21" bestFit="1" customWidth="1"/>
    <col min="3" max="3" width="5.33203125" style="21" bestFit="1" customWidth="1"/>
    <col min="4" max="4" width="9.33203125" style="103" bestFit="1" customWidth="1"/>
    <col min="5" max="5" width="11.5" style="103" bestFit="1" customWidth="1"/>
    <col min="6" max="7" width="13.1640625" style="29"/>
    <col min="8" max="16384" width="13.1640625" style="21"/>
  </cols>
  <sheetData>
    <row r="1" spans="1:7" s="29" customFormat="1" ht="16" thickBot="1" x14ac:dyDescent="0.3">
      <c r="D1" s="98"/>
      <c r="E1" s="98"/>
    </row>
    <row r="2" spans="1:7" s="29" customFormat="1" ht="16" customHeight="1" x14ac:dyDescent="0.25">
      <c r="B2" s="110" t="s">
        <v>76</v>
      </c>
      <c r="C2" s="135"/>
      <c r="D2" s="136"/>
      <c r="E2" s="137"/>
    </row>
    <row r="3" spans="1:7" s="26" customFormat="1" ht="16" customHeight="1" x14ac:dyDescent="0.25">
      <c r="A3" s="31"/>
      <c r="B3" s="138" t="s">
        <v>6</v>
      </c>
      <c r="C3" s="25" t="s">
        <v>7</v>
      </c>
      <c r="D3" s="99" t="s">
        <v>8</v>
      </c>
      <c r="E3" s="139" t="s">
        <v>9</v>
      </c>
      <c r="F3" s="31"/>
      <c r="G3" s="31"/>
    </row>
    <row r="4" spans="1:7" ht="16" customHeight="1" x14ac:dyDescent="0.25">
      <c r="B4" s="119" t="s">
        <v>15</v>
      </c>
      <c r="C4" s="7">
        <v>1</v>
      </c>
      <c r="D4" s="140">
        <v>6000</v>
      </c>
      <c r="E4" s="141">
        <f t="shared" ref="E4:E10" si="0">D4</f>
        <v>6000</v>
      </c>
    </row>
    <row r="5" spans="1:7" ht="16" customHeight="1" x14ac:dyDescent="0.25">
      <c r="B5" s="116" t="s">
        <v>52</v>
      </c>
      <c r="C5" s="8">
        <v>1</v>
      </c>
      <c r="D5" s="142">
        <v>3700</v>
      </c>
      <c r="E5" s="143">
        <f t="shared" si="0"/>
        <v>3700</v>
      </c>
    </row>
    <row r="6" spans="1:7" ht="16" customHeight="1" x14ac:dyDescent="0.25">
      <c r="B6" s="119" t="s">
        <v>50</v>
      </c>
      <c r="C6" s="9">
        <v>1</v>
      </c>
      <c r="D6" s="140">
        <v>4400</v>
      </c>
      <c r="E6" s="144">
        <f t="shared" si="0"/>
        <v>4400</v>
      </c>
    </row>
    <row r="7" spans="1:7" ht="16" customHeight="1" x14ac:dyDescent="0.25">
      <c r="B7" s="145" t="s">
        <v>65</v>
      </c>
      <c r="C7" s="93">
        <v>4</v>
      </c>
      <c r="D7" s="146">
        <v>210</v>
      </c>
      <c r="E7" s="147">
        <f>SUM(C7*D7)</f>
        <v>840</v>
      </c>
    </row>
    <row r="8" spans="1:7" ht="16" customHeight="1" x14ac:dyDescent="0.25">
      <c r="B8" s="148" t="s">
        <v>66</v>
      </c>
      <c r="C8" s="49">
        <v>1</v>
      </c>
      <c r="D8" s="129">
        <v>880</v>
      </c>
      <c r="E8" s="149">
        <f t="shared" si="0"/>
        <v>880</v>
      </c>
    </row>
    <row r="9" spans="1:7" ht="16" customHeight="1" x14ac:dyDescent="0.25">
      <c r="B9" s="116" t="s">
        <v>1</v>
      </c>
      <c r="C9" s="18">
        <v>1</v>
      </c>
      <c r="D9" s="105">
        <v>130</v>
      </c>
      <c r="E9" s="143">
        <f t="shared" si="0"/>
        <v>130</v>
      </c>
    </row>
    <row r="10" spans="1:7" ht="16" customHeight="1" thickBot="1" x14ac:dyDescent="0.3">
      <c r="B10" s="150" t="s">
        <v>51</v>
      </c>
      <c r="C10" s="95">
        <v>1</v>
      </c>
      <c r="D10" s="106">
        <v>250</v>
      </c>
      <c r="E10" s="151">
        <f t="shared" si="0"/>
        <v>250</v>
      </c>
    </row>
    <row r="11" spans="1:7" ht="16" customHeight="1" thickTop="1" x14ac:dyDescent="0.25">
      <c r="B11" s="152" t="s">
        <v>70</v>
      </c>
      <c r="C11" s="153">
        <v>1</v>
      </c>
      <c r="D11" s="146" t="s">
        <v>68</v>
      </c>
      <c r="E11" s="154">
        <f>SUM(E4:E10)</f>
        <v>16200</v>
      </c>
    </row>
    <row r="12" spans="1:7" ht="16" customHeight="1" x14ac:dyDescent="0.25">
      <c r="B12" s="148"/>
      <c r="C12" s="128"/>
      <c r="D12" s="129"/>
      <c r="E12" s="155"/>
    </row>
    <row r="13" spans="1:7" ht="16" customHeight="1" x14ac:dyDescent="0.25">
      <c r="B13" s="156" t="s">
        <v>69</v>
      </c>
      <c r="C13" s="157"/>
      <c r="D13" s="158"/>
      <c r="E13" s="159"/>
    </row>
    <row r="14" spans="1:7" ht="16" customHeight="1" x14ac:dyDescent="0.25">
      <c r="B14" s="160" t="s">
        <v>77</v>
      </c>
      <c r="C14" s="109">
        <v>1</v>
      </c>
      <c r="D14" s="104">
        <v>600</v>
      </c>
      <c r="E14" s="161">
        <f>SUM(C14*D14)</f>
        <v>600</v>
      </c>
    </row>
    <row r="15" spans="1:7" s="29" customFormat="1" ht="16" customHeight="1" x14ac:dyDescent="0.25">
      <c r="B15" s="162" t="s">
        <v>3</v>
      </c>
      <c r="C15" s="163">
        <v>1</v>
      </c>
      <c r="D15" s="100">
        <v>1800</v>
      </c>
      <c r="E15" s="144">
        <f>SUM(C15*D15)</f>
        <v>1800</v>
      </c>
    </row>
    <row r="16" spans="1:7" s="29" customFormat="1" ht="16" customHeight="1" x14ac:dyDescent="0.25">
      <c r="B16" s="164" t="s">
        <v>67</v>
      </c>
      <c r="C16" s="153">
        <v>1</v>
      </c>
      <c r="D16" s="101">
        <v>750</v>
      </c>
      <c r="E16" s="147">
        <f>D16*C16</f>
        <v>750</v>
      </c>
    </row>
    <row r="17" spans="2:9" ht="16" customHeight="1" thickBot="1" x14ac:dyDescent="0.3">
      <c r="B17" s="165" t="s">
        <v>72</v>
      </c>
      <c r="C17" s="94">
        <v>1</v>
      </c>
      <c r="D17" s="102">
        <v>550</v>
      </c>
      <c r="E17" s="151">
        <f>D17*C17</f>
        <v>550</v>
      </c>
    </row>
    <row r="18" spans="2:9" ht="16" customHeight="1" thickTop="1" x14ac:dyDescent="0.25">
      <c r="B18" s="166" t="s">
        <v>70</v>
      </c>
      <c r="C18" s="153">
        <f>C4</f>
        <v>1</v>
      </c>
      <c r="D18" s="146" t="s">
        <v>68</v>
      </c>
      <c r="E18" s="167">
        <f>SUM(E14:E17)</f>
        <v>3700</v>
      </c>
    </row>
    <row r="19" spans="2:9" ht="16" customHeight="1" thickBot="1" x14ac:dyDescent="0.3">
      <c r="B19" s="150"/>
      <c r="C19" s="94"/>
      <c r="D19" s="106"/>
      <c r="E19" s="181"/>
    </row>
    <row r="20" spans="2:9" ht="16" customHeight="1" thickTop="1" x14ac:dyDescent="0.25">
      <c r="B20" s="177" t="s">
        <v>73</v>
      </c>
      <c r="C20" s="178">
        <v>1</v>
      </c>
      <c r="D20" s="179"/>
      <c r="E20" s="180">
        <f>SUM(E18+E11)*C20</f>
        <v>19900</v>
      </c>
    </row>
    <row r="21" spans="2:9" ht="16" customHeight="1" x14ac:dyDescent="0.25">
      <c r="B21" s="119" t="s">
        <v>10</v>
      </c>
      <c r="C21" s="128"/>
      <c r="D21" s="129"/>
      <c r="E21" s="130">
        <f>E20*21%</f>
        <v>4179</v>
      </c>
    </row>
    <row r="22" spans="2:9" ht="16" customHeight="1" thickBot="1" x14ac:dyDescent="0.3">
      <c r="B22" s="131" t="s">
        <v>11</v>
      </c>
      <c r="C22" s="132"/>
      <c r="D22" s="133"/>
      <c r="E22" s="134">
        <f>SUM(E20:E21)</f>
        <v>24079</v>
      </c>
    </row>
    <row r="23" spans="2:9" ht="16" customHeight="1" thickBot="1" x14ac:dyDescent="0.3">
      <c r="I23" s="168"/>
    </row>
    <row r="24" spans="2:9" ht="16" customHeight="1" x14ac:dyDescent="0.25">
      <c r="B24" s="110" t="s">
        <v>54</v>
      </c>
      <c r="C24" s="111"/>
      <c r="D24" s="112"/>
      <c r="E24" s="113"/>
    </row>
    <row r="25" spans="2:9" ht="16" customHeight="1" x14ac:dyDescent="0.25">
      <c r="B25" s="114" t="s">
        <v>59</v>
      </c>
      <c r="C25" s="97">
        <v>13</v>
      </c>
      <c r="D25" s="107">
        <v>425</v>
      </c>
      <c r="E25" s="115">
        <f>SUM(C25*D25)</f>
        <v>5525</v>
      </c>
    </row>
    <row r="26" spans="2:9" s="29" customFormat="1" ht="16" customHeight="1" x14ac:dyDescent="0.25">
      <c r="B26" s="116" t="s">
        <v>60</v>
      </c>
      <c r="C26" s="74">
        <v>205</v>
      </c>
      <c r="D26" s="117">
        <v>14.8</v>
      </c>
      <c r="E26" s="118">
        <f>SUM(D26*C26)</f>
        <v>3034</v>
      </c>
    </row>
    <row r="27" spans="2:9" s="29" customFormat="1" ht="16" customHeight="1" x14ac:dyDescent="0.25">
      <c r="B27" s="119" t="s">
        <v>56</v>
      </c>
      <c r="C27" s="73">
        <v>205</v>
      </c>
      <c r="D27" s="120">
        <v>8.9</v>
      </c>
      <c r="E27" s="121">
        <f>SUM(C27*D27)</f>
        <v>1824.5</v>
      </c>
    </row>
    <row r="28" spans="2:9" s="50" customFormat="1" ht="16" customHeight="1" x14ac:dyDescent="0.25">
      <c r="B28" s="116" t="s">
        <v>57</v>
      </c>
      <c r="C28" s="74">
        <v>205</v>
      </c>
      <c r="D28" s="117">
        <v>23</v>
      </c>
      <c r="E28" s="118">
        <f>SUM(C28*D28)</f>
        <v>4715</v>
      </c>
    </row>
    <row r="29" spans="2:9" s="29" customFormat="1" ht="16" customHeight="1" thickBot="1" x14ac:dyDescent="0.3">
      <c r="B29" s="122" t="s">
        <v>58</v>
      </c>
      <c r="C29" s="96">
        <v>1</v>
      </c>
      <c r="D29" s="108">
        <v>900</v>
      </c>
      <c r="E29" s="123">
        <f>SUM(C29*D29)</f>
        <v>900</v>
      </c>
    </row>
    <row r="30" spans="2:9" ht="16" customHeight="1" thickTop="1" x14ac:dyDescent="0.25">
      <c r="B30" s="124" t="s">
        <v>71</v>
      </c>
      <c r="C30" s="125">
        <v>1</v>
      </c>
      <c r="D30" s="126"/>
      <c r="E30" s="127">
        <f>SUM(E25:E29)</f>
        <v>15998.5</v>
      </c>
    </row>
    <row r="31" spans="2:9" ht="16" customHeight="1" x14ac:dyDescent="0.25">
      <c r="B31" s="119" t="s">
        <v>10</v>
      </c>
      <c r="C31" s="128"/>
      <c r="D31" s="129"/>
      <c r="E31" s="130">
        <f>E30*21%</f>
        <v>3359.6849999999999</v>
      </c>
      <c r="F31" s="21"/>
    </row>
    <row r="32" spans="2:9" ht="16" customHeight="1" thickBot="1" x14ac:dyDescent="0.3">
      <c r="B32" s="131" t="s">
        <v>11</v>
      </c>
      <c r="C32" s="132"/>
      <c r="D32" s="133"/>
      <c r="E32" s="134">
        <f>SUM(E30:E31)</f>
        <v>19358.185000000001</v>
      </c>
      <c r="F32" s="128"/>
    </row>
    <row r="33" spans="2:5" ht="16" customHeight="1" thickBot="1" x14ac:dyDescent="0.3"/>
    <row r="34" spans="2:5" x14ac:dyDescent="0.25">
      <c r="B34" s="169" t="s">
        <v>75</v>
      </c>
      <c r="C34" s="170"/>
      <c r="D34" s="171"/>
      <c r="E34" s="172">
        <f>E20+E30</f>
        <v>35898.5</v>
      </c>
    </row>
    <row r="35" spans="2:5" x14ac:dyDescent="0.25">
      <c r="B35" s="148" t="s">
        <v>10</v>
      </c>
      <c r="C35" s="128"/>
      <c r="D35" s="129"/>
      <c r="E35" s="155">
        <f>E34*21%</f>
        <v>7538.6849999999995</v>
      </c>
    </row>
    <row r="36" spans="2:5" ht="16" thickBot="1" x14ac:dyDescent="0.3">
      <c r="B36" s="173" t="s">
        <v>74</v>
      </c>
      <c r="C36" s="174"/>
      <c r="D36" s="175"/>
      <c r="E36" s="176">
        <f>E34+E35</f>
        <v>43437.184999999998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A0FC-6862-7E41-B420-62FAEFB5786E}">
  <sheetPr>
    <pageSetUpPr fitToPage="1"/>
  </sheetPr>
  <dimension ref="A1:G49"/>
  <sheetViews>
    <sheetView zoomScale="120" zoomScaleNormal="120" workbookViewId="0">
      <selection activeCell="B4" sqref="B4"/>
    </sheetView>
  </sheetViews>
  <sheetFormatPr baseColWidth="10" defaultColWidth="13.1640625" defaultRowHeight="15" x14ac:dyDescent="0.25"/>
  <cols>
    <col min="1" max="1" width="2.83203125" style="29" customWidth="1"/>
    <col min="2" max="2" width="53.83203125" style="21" customWidth="1"/>
    <col min="3" max="3" width="7.83203125" style="21" customWidth="1"/>
    <col min="4" max="4" width="13.6640625" style="21" customWidth="1"/>
    <col min="5" max="5" width="17.1640625" style="21" customWidth="1"/>
    <col min="6" max="7" width="13.1640625" style="29"/>
    <col min="8" max="16384" width="13.1640625" style="21"/>
  </cols>
  <sheetData>
    <row r="1" spans="1:7" s="29" customFormat="1" x14ac:dyDescent="0.25"/>
    <row r="2" spans="1:7" s="29" customFormat="1" ht="16" customHeight="1" x14ac:dyDescent="0.25">
      <c r="B2" s="28" t="s">
        <v>20</v>
      </c>
    </row>
    <row r="3" spans="1:7" s="26" customFormat="1" ht="16" customHeight="1" x14ac:dyDescent="0.25">
      <c r="A3" s="31"/>
      <c r="B3" s="25" t="s">
        <v>6</v>
      </c>
      <c r="C3" s="25" t="s">
        <v>7</v>
      </c>
      <c r="D3" s="25" t="s">
        <v>8</v>
      </c>
      <c r="E3" s="25" t="s">
        <v>9</v>
      </c>
      <c r="F3" s="31"/>
      <c r="G3" s="31"/>
    </row>
    <row r="4" spans="1:7" ht="16" customHeight="1" x14ac:dyDescent="0.25">
      <c r="B4" s="1" t="s">
        <v>16</v>
      </c>
      <c r="C4" s="7">
        <v>1</v>
      </c>
      <c r="D4" s="2">
        <v>7300</v>
      </c>
      <c r="E4" s="33">
        <f>SUM(C4*D4)</f>
        <v>7300</v>
      </c>
    </row>
    <row r="5" spans="1:7" ht="16" customHeight="1" x14ac:dyDescent="0.25">
      <c r="B5" s="4" t="s">
        <v>25</v>
      </c>
      <c r="C5" s="8">
        <v>4</v>
      </c>
      <c r="D5" s="5">
        <v>60</v>
      </c>
      <c r="E5" s="34">
        <f t="shared" ref="E5:E12" si="0">SUM(C5*D5)</f>
        <v>240</v>
      </c>
    </row>
    <row r="6" spans="1:7" ht="16" customHeight="1" x14ac:dyDescent="0.25">
      <c r="B6" s="1" t="s">
        <v>12</v>
      </c>
      <c r="C6" s="9">
        <v>18</v>
      </c>
      <c r="D6" s="2">
        <v>200</v>
      </c>
      <c r="E6" s="35">
        <f t="shared" si="0"/>
        <v>3600</v>
      </c>
    </row>
    <row r="7" spans="1:7" ht="16" customHeight="1" x14ac:dyDescent="0.25">
      <c r="B7" s="4" t="s">
        <v>24</v>
      </c>
      <c r="C7" s="8">
        <v>1</v>
      </c>
      <c r="D7" s="5">
        <v>3700</v>
      </c>
      <c r="E7" s="34">
        <f t="shared" si="0"/>
        <v>3700</v>
      </c>
    </row>
    <row r="8" spans="1:7" ht="16" customHeight="1" x14ac:dyDescent="0.25">
      <c r="B8" s="1" t="s">
        <v>19</v>
      </c>
      <c r="C8" s="9">
        <v>1</v>
      </c>
      <c r="D8" s="2">
        <v>200</v>
      </c>
      <c r="E8" s="35">
        <f t="shared" si="0"/>
        <v>200</v>
      </c>
    </row>
    <row r="9" spans="1:7" ht="16" customHeight="1" x14ac:dyDescent="0.25">
      <c r="B9" s="4" t="s">
        <v>18</v>
      </c>
      <c r="C9" s="8">
        <v>1</v>
      </c>
      <c r="D9" s="5">
        <v>200</v>
      </c>
      <c r="E9" s="34">
        <f t="shared" si="0"/>
        <v>200</v>
      </c>
    </row>
    <row r="10" spans="1:7" ht="16" customHeight="1" x14ac:dyDescent="0.25">
      <c r="B10" s="1" t="s">
        <v>22</v>
      </c>
      <c r="C10" s="9">
        <v>4</v>
      </c>
      <c r="D10" s="2">
        <v>130</v>
      </c>
      <c r="E10" s="35">
        <f t="shared" si="0"/>
        <v>520</v>
      </c>
    </row>
    <row r="11" spans="1:7" ht="16" customHeight="1" x14ac:dyDescent="0.25">
      <c r="B11" s="4" t="s">
        <v>0</v>
      </c>
      <c r="C11" s="8">
        <v>1</v>
      </c>
      <c r="D11" s="5">
        <v>300</v>
      </c>
      <c r="E11" s="34">
        <f t="shared" si="0"/>
        <v>300</v>
      </c>
    </row>
    <row r="12" spans="1:7" ht="16" thickBot="1" x14ac:dyDescent="0.3">
      <c r="B12" s="11" t="s">
        <v>1</v>
      </c>
      <c r="C12" s="12">
        <v>1</v>
      </c>
      <c r="D12" s="13">
        <v>110</v>
      </c>
      <c r="E12" s="36">
        <f t="shared" si="0"/>
        <v>110</v>
      </c>
    </row>
    <row r="13" spans="1:7" ht="16" thickTop="1" x14ac:dyDescent="0.25">
      <c r="B13" s="4" t="s">
        <v>21</v>
      </c>
      <c r="C13" s="20"/>
      <c r="D13" s="20"/>
      <c r="E13" s="37">
        <f>SUM(E4:E12)</f>
        <v>16170</v>
      </c>
    </row>
    <row r="14" spans="1:7" s="29" customFormat="1" x14ac:dyDescent="0.25">
      <c r="E14" s="38"/>
    </row>
    <row r="15" spans="1:7" s="29" customFormat="1" x14ac:dyDescent="0.25">
      <c r="B15" s="20" t="s">
        <v>23</v>
      </c>
      <c r="C15" s="20">
        <v>1</v>
      </c>
      <c r="D15" s="6">
        <f>E13</f>
        <v>16170</v>
      </c>
      <c r="E15" s="37">
        <f>SUM(C15*D15)-E14</f>
        <v>16170</v>
      </c>
    </row>
    <row r="16" spans="1:7" s="29" customFormat="1" x14ac:dyDescent="0.25">
      <c r="E16" s="38"/>
    </row>
    <row r="17" spans="2:5" s="29" customFormat="1" x14ac:dyDescent="0.25">
      <c r="B17" s="29" t="s">
        <v>13</v>
      </c>
      <c r="E17" s="38"/>
    </row>
    <row r="18" spans="2:5" x14ac:dyDescent="0.25">
      <c r="B18" s="14" t="s">
        <v>2</v>
      </c>
      <c r="C18" s="15">
        <v>1</v>
      </c>
      <c r="D18" s="16">
        <v>650</v>
      </c>
      <c r="E18" s="39">
        <f>SUM(C18*D18)</f>
        <v>650</v>
      </c>
    </row>
    <row r="19" spans="2:5" x14ac:dyDescent="0.25">
      <c r="B19" s="17" t="s">
        <v>3</v>
      </c>
      <c r="C19" s="9">
        <v>1</v>
      </c>
      <c r="D19" s="2">
        <v>2500</v>
      </c>
      <c r="E19" s="35">
        <f>SUM(C19*D19)</f>
        <v>2500</v>
      </c>
    </row>
    <row r="20" spans="2:5" ht="16" customHeight="1" x14ac:dyDescent="0.25">
      <c r="B20" s="18" t="s">
        <v>4</v>
      </c>
      <c r="C20" s="8">
        <v>1</v>
      </c>
      <c r="D20" s="5">
        <v>500</v>
      </c>
      <c r="E20" s="34">
        <f>SUM(C20*D20)</f>
        <v>500</v>
      </c>
    </row>
    <row r="21" spans="2:5" ht="16" customHeight="1" x14ac:dyDescent="0.25">
      <c r="B21" s="19" t="s">
        <v>5</v>
      </c>
      <c r="C21" s="10">
        <v>1</v>
      </c>
      <c r="D21" s="3">
        <v>600</v>
      </c>
      <c r="E21" s="40">
        <f>SUM(C21*D21)</f>
        <v>600</v>
      </c>
    </row>
    <row r="22" spans="2:5" ht="16" customHeight="1" x14ac:dyDescent="0.25">
      <c r="B22" s="20"/>
      <c r="C22" s="20"/>
      <c r="D22" s="20"/>
      <c r="E22" s="41">
        <f>SUM(E18:E21)</f>
        <v>4250</v>
      </c>
    </row>
    <row r="23" spans="2:5" ht="16" customHeight="1" x14ac:dyDescent="0.25">
      <c r="B23" s="20"/>
      <c r="C23" s="20"/>
      <c r="D23" s="20"/>
      <c r="E23" s="41"/>
    </row>
    <row r="24" spans="2:5" ht="9" customHeight="1" x14ac:dyDescent="0.25">
      <c r="E24" s="42"/>
    </row>
    <row r="25" spans="2:5" ht="16" customHeight="1" x14ac:dyDescent="0.25">
      <c r="B25" s="22" t="s">
        <v>14</v>
      </c>
      <c r="C25" s="23"/>
      <c r="D25" s="23"/>
      <c r="E25" s="45">
        <f>SUM(E15+E22)</f>
        <v>20420</v>
      </c>
    </row>
    <row r="26" spans="2:5" ht="16" customHeight="1" x14ac:dyDescent="0.25">
      <c r="B26" s="17" t="s">
        <v>10</v>
      </c>
      <c r="C26" s="32">
        <v>0.21</v>
      </c>
      <c r="E26" s="43">
        <f>SUM(E25*C26)</f>
        <v>4288.2</v>
      </c>
    </row>
    <row r="27" spans="2:5" ht="16" customHeight="1" x14ac:dyDescent="0.25">
      <c r="B27" s="24" t="s">
        <v>11</v>
      </c>
      <c r="C27" s="27"/>
      <c r="D27" s="27"/>
      <c r="E27" s="44">
        <f>SUM(E25:E26)</f>
        <v>24708.2</v>
      </c>
    </row>
    <row r="28" spans="2:5" s="29" customFormat="1" ht="6" customHeight="1" x14ac:dyDescent="0.25"/>
    <row r="29" spans="2:5" s="29" customFormat="1" x14ac:dyDescent="0.25">
      <c r="E29" s="30"/>
    </row>
    <row r="30" spans="2:5" s="29" customFormat="1" x14ac:dyDescent="0.25">
      <c r="B30" s="29" t="s">
        <v>17</v>
      </c>
    </row>
    <row r="31" spans="2:5" s="29" customFormat="1" x14ac:dyDescent="0.25"/>
    <row r="32" spans="2:5" x14ac:dyDescent="0.25">
      <c r="B32" s="29"/>
      <c r="C32" s="29"/>
      <c r="D32" s="29"/>
      <c r="E32" s="29"/>
    </row>
    <row r="33" spans="2:5" ht="47" customHeight="1" x14ac:dyDescent="0.25">
      <c r="C33" s="29"/>
      <c r="D33" s="29"/>
      <c r="E33" s="29"/>
    </row>
    <row r="34" spans="2:5" x14ac:dyDescent="0.25">
      <c r="B34" s="29"/>
      <c r="C34" s="29"/>
      <c r="D34" s="29"/>
      <c r="E34" s="29"/>
    </row>
    <row r="35" spans="2:5" x14ac:dyDescent="0.25">
      <c r="B35" s="29"/>
      <c r="C35" s="29"/>
      <c r="D35" s="29"/>
      <c r="E35" s="29"/>
    </row>
    <row r="36" spans="2:5" x14ac:dyDescent="0.25">
      <c r="B36" s="29"/>
      <c r="C36" s="29"/>
      <c r="D36" s="29"/>
      <c r="E36" s="29"/>
    </row>
    <row r="37" spans="2:5" x14ac:dyDescent="0.25">
      <c r="B37" s="29"/>
      <c r="C37" s="29"/>
      <c r="D37" s="29"/>
      <c r="E37" s="29"/>
    </row>
    <row r="38" spans="2:5" x14ac:dyDescent="0.25">
      <c r="B38" s="29"/>
      <c r="C38" s="29"/>
      <c r="D38" s="29"/>
      <c r="E38" s="29"/>
    </row>
    <row r="39" spans="2:5" x14ac:dyDescent="0.25">
      <c r="B39" s="29"/>
      <c r="C39" s="29"/>
      <c r="D39" s="29"/>
      <c r="E39" s="29"/>
    </row>
    <row r="40" spans="2:5" x14ac:dyDescent="0.25">
      <c r="B40" s="29"/>
      <c r="C40" s="29"/>
      <c r="D40" s="29"/>
      <c r="E40" s="29"/>
    </row>
    <row r="41" spans="2:5" x14ac:dyDescent="0.25">
      <c r="B41" s="29"/>
      <c r="C41" s="29"/>
      <c r="D41" s="29"/>
      <c r="E41" s="29"/>
    </row>
    <row r="42" spans="2:5" x14ac:dyDescent="0.25">
      <c r="B42" s="29"/>
      <c r="C42" s="29"/>
      <c r="D42" s="29"/>
      <c r="E42" s="29"/>
    </row>
    <row r="43" spans="2:5" x14ac:dyDescent="0.25">
      <c r="B43" s="29"/>
      <c r="C43" s="29"/>
      <c r="D43" s="29"/>
      <c r="E43" s="29"/>
    </row>
    <row r="44" spans="2:5" x14ac:dyDescent="0.25">
      <c r="B44" s="29"/>
      <c r="C44" s="29"/>
      <c r="D44" s="29"/>
      <c r="E44" s="29"/>
    </row>
    <row r="45" spans="2:5" x14ac:dyDescent="0.25">
      <c r="B45" s="29"/>
      <c r="C45" s="29"/>
      <c r="D45" s="29"/>
      <c r="E45" s="29"/>
    </row>
    <row r="46" spans="2:5" x14ac:dyDescent="0.25">
      <c r="B46" s="29"/>
      <c r="C46" s="29"/>
      <c r="D46" s="29"/>
      <c r="E46" s="29"/>
    </row>
    <row r="47" spans="2:5" x14ac:dyDescent="0.25">
      <c r="B47" s="29"/>
      <c r="C47" s="29"/>
      <c r="D47" s="29"/>
      <c r="E47" s="29"/>
    </row>
    <row r="48" spans="2:5" x14ac:dyDescent="0.25">
      <c r="B48" s="29"/>
      <c r="C48" s="29"/>
      <c r="D48" s="29"/>
      <c r="E48" s="29"/>
    </row>
    <row r="49" spans="2:5" x14ac:dyDescent="0.25">
      <c r="B49" s="29"/>
      <c r="C49" s="29"/>
      <c r="D49" s="29"/>
      <c r="E49" s="29"/>
    </row>
  </sheetData>
  <pageMargins left="0.25" right="0.25" top="0.75" bottom="0.75" header="0.3" footer="0.3"/>
  <pageSetup paperSize="9" scale="76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AE9D-B2FC-7140-AC07-300E57A91D18}">
  <dimension ref="B2:E30"/>
  <sheetViews>
    <sheetView workbookViewId="0">
      <selection activeCell="B24" sqref="B24:E30"/>
    </sheetView>
  </sheetViews>
  <sheetFormatPr baseColWidth="10" defaultRowHeight="16" x14ac:dyDescent="0.2"/>
  <cols>
    <col min="2" max="2" width="59.6640625" customWidth="1"/>
    <col min="3" max="3" width="12.5" customWidth="1"/>
    <col min="4" max="4" width="16.83203125" customWidth="1"/>
    <col min="5" max="5" width="14.6640625" customWidth="1"/>
  </cols>
  <sheetData>
    <row r="2" spans="2:5" ht="17" x14ac:dyDescent="0.25">
      <c r="B2" s="50" t="s">
        <v>62</v>
      </c>
      <c r="C2" s="29"/>
      <c r="D2" s="29"/>
      <c r="E2" s="51"/>
    </row>
    <row r="3" spans="2:5" ht="17" x14ac:dyDescent="0.25">
      <c r="B3" s="52" t="s">
        <v>6</v>
      </c>
      <c r="C3" s="53" t="s">
        <v>7</v>
      </c>
      <c r="D3" s="53" t="s">
        <v>8</v>
      </c>
      <c r="E3" s="54" t="s">
        <v>9</v>
      </c>
    </row>
    <row r="4" spans="2:5" ht="17" x14ac:dyDescent="0.25">
      <c r="B4" s="17" t="s">
        <v>61</v>
      </c>
      <c r="C4" s="55">
        <v>2</v>
      </c>
      <c r="D4" s="56">
        <v>15200</v>
      </c>
      <c r="E4" s="57">
        <f>SUM(C4*D4)</f>
        <v>30400</v>
      </c>
    </row>
    <row r="5" spans="2:5" ht="17" x14ac:dyDescent="0.25">
      <c r="B5" s="18" t="s">
        <v>63</v>
      </c>
      <c r="C5" s="58">
        <v>2</v>
      </c>
      <c r="D5" s="59">
        <v>16000</v>
      </c>
      <c r="E5" s="60">
        <f t="shared" ref="E5:E7" si="0">SUM(C5*D5)</f>
        <v>32000</v>
      </c>
    </row>
    <row r="6" spans="2:5" ht="17" x14ac:dyDescent="0.25">
      <c r="B6" s="17" t="s">
        <v>64</v>
      </c>
      <c r="C6" s="61">
        <v>1</v>
      </c>
      <c r="D6" s="56">
        <v>600</v>
      </c>
      <c r="E6" s="62">
        <f t="shared" si="0"/>
        <v>600</v>
      </c>
    </row>
    <row r="7" spans="2:5" ht="17" x14ac:dyDescent="0.25">
      <c r="B7" s="24" t="s">
        <v>3</v>
      </c>
      <c r="C7" s="63">
        <v>2</v>
      </c>
      <c r="D7" s="64">
        <v>2500</v>
      </c>
      <c r="E7" s="65">
        <f t="shared" si="0"/>
        <v>5000</v>
      </c>
    </row>
    <row r="8" spans="2:5" ht="17" x14ac:dyDescent="0.25">
      <c r="B8" s="50" t="s">
        <v>53</v>
      </c>
      <c r="C8" s="66">
        <v>2</v>
      </c>
      <c r="D8" s="50"/>
      <c r="E8" s="67">
        <f>SUM(E4:E7)</f>
        <v>68000</v>
      </c>
    </row>
    <row r="9" spans="2:5" ht="17" x14ac:dyDescent="0.25">
      <c r="B9" s="29"/>
      <c r="C9" s="29"/>
      <c r="D9" s="29"/>
      <c r="E9" s="51"/>
    </row>
    <row r="10" spans="2:5" ht="17" x14ac:dyDescent="0.25">
      <c r="B10" s="76" t="s">
        <v>55</v>
      </c>
      <c r="C10" s="77"/>
      <c r="D10" s="78"/>
      <c r="E10" s="79">
        <f>E8+E30</f>
        <v>68000</v>
      </c>
    </row>
    <row r="11" spans="2:5" ht="17" x14ac:dyDescent="0.25">
      <c r="B11" s="80" t="s">
        <v>10</v>
      </c>
      <c r="C11" s="81">
        <v>0.21</v>
      </c>
      <c r="D11" s="82"/>
      <c r="E11" s="83">
        <f>SUM(E10*C11)</f>
        <v>14280</v>
      </c>
    </row>
    <row r="12" spans="2:5" ht="17" x14ac:dyDescent="0.25">
      <c r="B12" s="84" t="s">
        <v>11</v>
      </c>
      <c r="C12" s="85"/>
      <c r="D12" s="85"/>
      <c r="E12" s="86">
        <f>SUM(E10+E11)</f>
        <v>82280</v>
      </c>
    </row>
    <row r="17" spans="2:5" ht="17" x14ac:dyDescent="0.25">
      <c r="B17" s="29"/>
      <c r="C17" s="68"/>
      <c r="D17" s="68"/>
      <c r="E17" s="75"/>
    </row>
    <row r="24" spans="2:5" ht="17" x14ac:dyDescent="0.25">
      <c r="B24" s="50" t="s">
        <v>54</v>
      </c>
      <c r="C24" s="68"/>
      <c r="D24" s="68"/>
      <c r="E24" s="69"/>
    </row>
    <row r="25" spans="2:5" ht="17" x14ac:dyDescent="0.25">
      <c r="B25" s="14" t="s">
        <v>59</v>
      </c>
      <c r="C25" s="70">
        <v>13</v>
      </c>
      <c r="D25" s="71">
        <v>425</v>
      </c>
      <c r="E25" s="72">
        <f>SUM(C25*D25)</f>
        <v>5525</v>
      </c>
    </row>
    <row r="26" spans="2:5" ht="17" x14ac:dyDescent="0.25">
      <c r="B26" s="17" t="s">
        <v>60</v>
      </c>
      <c r="C26" s="73">
        <v>205</v>
      </c>
      <c r="D26" s="56">
        <v>15</v>
      </c>
      <c r="E26" s="62">
        <f>SUM(D26*C26)</f>
        <v>3075</v>
      </c>
    </row>
    <row r="27" spans="2:5" ht="17" x14ac:dyDescent="0.25">
      <c r="B27" s="18" t="s">
        <v>56</v>
      </c>
      <c r="C27" s="74">
        <v>205</v>
      </c>
      <c r="D27" s="59">
        <v>9</v>
      </c>
      <c r="E27" s="60">
        <f>SUM(C27*D27)</f>
        <v>1845</v>
      </c>
    </row>
    <row r="28" spans="2:5" ht="17" x14ac:dyDescent="0.25">
      <c r="B28" s="87" t="s">
        <v>57</v>
      </c>
      <c r="C28" s="88">
        <v>205</v>
      </c>
      <c r="D28" s="89">
        <v>25</v>
      </c>
      <c r="E28" s="90">
        <f>SUM(C28*D28)</f>
        <v>5125</v>
      </c>
    </row>
    <row r="29" spans="2:5" ht="17" x14ac:dyDescent="0.25">
      <c r="B29" s="24" t="s">
        <v>58</v>
      </c>
      <c r="C29" s="91">
        <v>1</v>
      </c>
      <c r="D29" s="64">
        <v>550</v>
      </c>
      <c r="E29" s="65">
        <f>SUM(C29*D29)</f>
        <v>550</v>
      </c>
    </row>
    <row r="30" spans="2:5" ht="17" x14ac:dyDescent="0.25">
      <c r="B30" s="29"/>
      <c r="C30" s="68"/>
      <c r="D30" s="68"/>
      <c r="E30" s="92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06A4B-4FE1-5642-B9E4-95127F17BBD5}">
  <dimension ref="B4:O33"/>
  <sheetViews>
    <sheetView zoomScale="130" zoomScaleNormal="130" workbookViewId="0">
      <selection activeCell="B37" sqref="B37"/>
    </sheetView>
  </sheetViews>
  <sheetFormatPr baseColWidth="10" defaultRowHeight="16" x14ac:dyDescent="0.2"/>
  <cols>
    <col min="2" max="2" width="53" customWidth="1"/>
    <col min="3" max="3" width="15.5" customWidth="1"/>
  </cols>
  <sheetData>
    <row r="4" spans="2:15" s="47" customFormat="1" x14ac:dyDescent="0.2">
      <c r="D4" s="47" t="s">
        <v>27</v>
      </c>
      <c r="E4" s="47" t="s">
        <v>28</v>
      </c>
      <c r="F4" s="47" t="s">
        <v>29</v>
      </c>
      <c r="G4" s="47" t="s">
        <v>30</v>
      </c>
      <c r="H4" s="47" t="s">
        <v>32</v>
      </c>
      <c r="I4" s="47" t="s">
        <v>31</v>
      </c>
    </row>
    <row r="6" spans="2:15" ht="19" x14ac:dyDescent="0.2">
      <c r="O6" s="46"/>
    </row>
    <row r="7" spans="2:15" x14ac:dyDescent="0.2">
      <c r="B7" t="s">
        <v>26</v>
      </c>
      <c r="C7">
        <v>8</v>
      </c>
      <c r="D7">
        <v>220</v>
      </c>
      <c r="E7">
        <v>15</v>
      </c>
      <c r="F7">
        <v>30</v>
      </c>
      <c r="G7">
        <v>10</v>
      </c>
      <c r="H7">
        <f>SUM(D7:G7)</f>
        <v>275</v>
      </c>
      <c r="I7">
        <f>SUM(H7*C7)</f>
        <v>2200</v>
      </c>
    </row>
    <row r="8" spans="2:15" x14ac:dyDescent="0.2">
      <c r="B8" t="s">
        <v>33</v>
      </c>
      <c r="C8" t="s">
        <v>35</v>
      </c>
      <c r="F8">
        <v>3675</v>
      </c>
      <c r="G8">
        <v>550</v>
      </c>
      <c r="I8">
        <f>SUM(F8:H8)</f>
        <v>4225</v>
      </c>
    </row>
    <row r="9" spans="2:15" x14ac:dyDescent="0.2">
      <c r="B9" t="s">
        <v>34</v>
      </c>
      <c r="C9" t="s">
        <v>36</v>
      </c>
      <c r="D9" t="s">
        <v>42</v>
      </c>
      <c r="F9">
        <v>1225</v>
      </c>
      <c r="G9">
        <v>550</v>
      </c>
      <c r="I9">
        <f>SUM(F9:H9)</f>
        <v>1775</v>
      </c>
    </row>
    <row r="10" spans="2:15" x14ac:dyDescent="0.2">
      <c r="B10" t="s">
        <v>40</v>
      </c>
      <c r="C10" t="s">
        <v>38</v>
      </c>
      <c r="D10">
        <v>220</v>
      </c>
      <c r="F10">
        <v>30</v>
      </c>
      <c r="G10">
        <v>50</v>
      </c>
      <c r="I10">
        <f>SUM(D10:H10)</f>
        <v>300</v>
      </c>
    </row>
    <row r="11" spans="2:15" x14ac:dyDescent="0.2">
      <c r="B11" t="s">
        <v>37</v>
      </c>
      <c r="C11" t="s">
        <v>39</v>
      </c>
      <c r="D11">
        <v>180</v>
      </c>
      <c r="F11">
        <v>30</v>
      </c>
      <c r="G11">
        <v>50</v>
      </c>
      <c r="I11">
        <f>SUM(D11:H11)*3</f>
        <v>780</v>
      </c>
    </row>
    <row r="15" spans="2:15" x14ac:dyDescent="0.2">
      <c r="I15">
        <f>SUM(I7:I14)</f>
        <v>9280</v>
      </c>
    </row>
    <row r="16" spans="2:15" x14ac:dyDescent="0.2">
      <c r="B16" t="s">
        <v>41</v>
      </c>
    </row>
    <row r="23" spans="2:5" s="47" customFormat="1" x14ac:dyDescent="0.2">
      <c r="B23" s="47" t="s">
        <v>43</v>
      </c>
      <c r="C23" s="47" t="s">
        <v>7</v>
      </c>
      <c r="D23" s="47" t="s">
        <v>8</v>
      </c>
      <c r="E23" s="47" t="s">
        <v>9</v>
      </c>
    </row>
    <row r="25" spans="2:5" x14ac:dyDescent="0.2">
      <c r="B25" t="s">
        <v>26</v>
      </c>
      <c r="C25">
        <v>8</v>
      </c>
      <c r="D25">
        <v>275</v>
      </c>
      <c r="E25">
        <v>2200</v>
      </c>
    </row>
    <row r="26" spans="2:5" x14ac:dyDescent="0.2">
      <c r="B26" t="s">
        <v>44</v>
      </c>
      <c r="C26">
        <v>200</v>
      </c>
      <c r="D26">
        <v>17.5</v>
      </c>
      <c r="E26">
        <f>SUM(C26*D26)</f>
        <v>3500</v>
      </c>
    </row>
    <row r="27" spans="2:5" x14ac:dyDescent="0.2">
      <c r="B27" t="s">
        <v>45</v>
      </c>
      <c r="E27">
        <v>600</v>
      </c>
    </row>
    <row r="28" spans="2:5" ht="34" x14ac:dyDescent="0.2">
      <c r="B28" s="48" t="s">
        <v>49</v>
      </c>
      <c r="C28">
        <v>1</v>
      </c>
      <c r="D28">
        <v>300</v>
      </c>
      <c r="E28">
        <v>300</v>
      </c>
    </row>
    <row r="29" spans="2:5" x14ac:dyDescent="0.2">
      <c r="B29" t="s">
        <v>48</v>
      </c>
      <c r="C29">
        <v>3</v>
      </c>
      <c r="D29">
        <v>300</v>
      </c>
      <c r="E29">
        <f>SUM(C29*D29)</f>
        <v>900</v>
      </c>
    </row>
    <row r="31" spans="2:5" x14ac:dyDescent="0.2">
      <c r="D31" t="s">
        <v>31</v>
      </c>
      <c r="E31">
        <f>SUM(E25:E30)</f>
        <v>7500</v>
      </c>
    </row>
    <row r="32" spans="2:5" x14ac:dyDescent="0.2">
      <c r="D32" t="s">
        <v>46</v>
      </c>
      <c r="E32">
        <f>SUM(E31*0.21)</f>
        <v>1575</v>
      </c>
    </row>
    <row r="33" spans="4:5" x14ac:dyDescent="0.2">
      <c r="D33" t="s">
        <v>47</v>
      </c>
      <c r="E33">
        <f>SUM(E31:E32)</f>
        <v>9075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Panoramic CHN</vt:lpstr>
      <vt:lpstr>ECCO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Arvydas Sutavicius</dc:creator>
  <cp:lastModifiedBy>Arvvydas Sutavicius</cp:lastModifiedBy>
  <cp:lastPrinted>2026-06-03T08:14:46Z</cp:lastPrinted>
  <dcterms:created xsi:type="dcterms:W3CDTF">2022-09-09T11:41:38Z</dcterms:created>
  <dcterms:modified xsi:type="dcterms:W3CDTF">2026-06-03T11:26:18Z</dcterms:modified>
</cp:coreProperties>
</file>